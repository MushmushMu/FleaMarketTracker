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" sheetId="1" r:id="rId4"/>
    <sheet state="visible" name="Accessory" sheetId="2" r:id="rId5"/>
    <sheet state="visible" name="SKU" sheetId="3" r:id="rId6"/>
  </sheets>
  <definedNames/>
  <calcPr/>
  <extLst>
    <ext uri="GoogleSheetsCustomDataVersion2">
      <go:sheetsCustomData xmlns:go="http://customooxmlschemas.google.com/" r:id="rId7" roundtripDataChecksum="E6dRj/Y9I1qqsP5MmPuTOHZbQa72jt0nUnOFuC0edrk="/>
    </ext>
  </extLst>
</workbook>
</file>

<file path=xl/sharedStrings.xml><?xml version="1.0" encoding="utf-8"?>
<sst xmlns="http://schemas.openxmlformats.org/spreadsheetml/2006/main" count="236" uniqueCount="131">
  <si>
    <t>Project Name</t>
  </si>
  <si>
    <t>Market Date</t>
  </si>
  <si>
    <t>Budget</t>
  </si>
  <si>
    <t>Costs per market</t>
  </si>
  <si>
    <t>Cost to date</t>
  </si>
  <si>
    <t>Revenue per market</t>
  </si>
  <si>
    <t>Revenue to Date</t>
  </si>
  <si>
    <t>Remaining Budget</t>
  </si>
  <si>
    <t>Earn</t>
  </si>
  <si>
    <t>Flea Market</t>
  </si>
  <si>
    <t>2026-04-12</t>
  </si>
  <si>
    <t>Total Cost</t>
  </si>
  <si>
    <t>Extra price from last time</t>
  </si>
  <si>
    <t>Product Name</t>
  </si>
  <si>
    <t>Source Link</t>
  </si>
  <si>
    <t>Category</t>
  </si>
  <si>
    <t>Cost</t>
  </si>
  <si>
    <t>2 Bracelet Holder</t>
  </si>
  <si>
    <t>Exhibition</t>
  </si>
  <si>
    <t>Tablecloth</t>
  </si>
  <si>
    <t>price tag</t>
  </si>
  <si>
    <t>Booth</t>
  </si>
  <si>
    <t>4/12 boise flea market</t>
  </si>
  <si>
    <t>package x40cs</t>
  </si>
  <si>
    <t>card reader</t>
  </si>
  <si>
    <t>4/12 flea market fee</t>
  </si>
  <si>
    <t>Aplication fee</t>
  </si>
  <si>
    <t>2 flat holder</t>
  </si>
  <si>
    <t>2 small boards</t>
  </si>
  <si>
    <t>SKU ID</t>
  </si>
  <si>
    <t>Unit Cost</t>
  </si>
  <si>
    <t>Arrival Quantity</t>
  </si>
  <si>
    <t>Purchased</t>
  </si>
  <si>
    <t>Total Price</t>
  </si>
  <si>
    <t>Sample Evaluation Status</t>
  </si>
  <si>
    <t>Decision</t>
  </si>
  <si>
    <t>Quantity Sold</t>
  </si>
  <si>
    <t>Current Stock</t>
  </si>
  <si>
    <t>Revenue</t>
  </si>
  <si>
    <t>Notes</t>
  </si>
  <si>
    <t>Average sold price</t>
  </si>
  <si>
    <t>Margin</t>
  </si>
  <si>
    <t>SKU-001</t>
  </si>
  <si>
    <t>Flower Bracelet</t>
  </si>
  <si>
    <t>https://detail.1688.com/offer/842827519588.html</t>
  </si>
  <si>
    <t>Accessories</t>
  </si>
  <si>
    <t>Pass</t>
  </si>
  <si>
    <t>Scale</t>
  </si>
  <si>
    <t>scalable</t>
  </si>
  <si>
    <t>SKU-002</t>
  </si>
  <si>
    <t>Zoliac Bracelet</t>
  </si>
  <si>
    <t>https://detail.1688.com/offer/830811001507.html</t>
  </si>
  <si>
    <t>SKU-003</t>
  </si>
  <si>
    <t>Bixi Bracelet</t>
  </si>
  <si>
    <t>https://detail.1688.com/offer/622444283345.html</t>
  </si>
  <si>
    <t>SKU-004</t>
  </si>
  <si>
    <t>Bracelet</t>
  </si>
  <si>
    <t>https://detail.1688.com/offer/681719447238.html</t>
  </si>
  <si>
    <t>Fail</t>
  </si>
  <si>
    <t>Kill</t>
  </si>
  <si>
    <t>Sample order; sellable unit; pending cost &amp; pricing</t>
  </si>
  <si>
    <t>SKU-005</t>
  </si>
  <si>
    <t>Coffee Cup</t>
  </si>
  <si>
    <t>https://detail.tmall.com/item.htm?id=705343273405</t>
  </si>
  <si>
    <t>Drinkware</t>
  </si>
  <si>
    <t>In progress</t>
  </si>
  <si>
    <t>Sample</t>
  </si>
  <si>
    <t>SKU-006</t>
  </si>
  <si>
    <t>Glass Cup</t>
  </si>
  <si>
    <t>https://detail.tmall.com/item.htm?id=662853151379</t>
  </si>
  <si>
    <t>Sample only; HOLD until quality &amp; fragility check</t>
  </si>
  <si>
    <t>SKU-007</t>
  </si>
  <si>
    <t>6' handle dish</t>
  </si>
  <si>
    <t>dish</t>
  </si>
  <si>
    <t>sample</t>
  </si>
  <si>
    <t>SKU-008</t>
  </si>
  <si>
    <t>6' square dish</t>
  </si>
  <si>
    <t>SKU-009</t>
  </si>
  <si>
    <t>5.5' square bowl</t>
  </si>
  <si>
    <t>bowl</t>
  </si>
  <si>
    <t>SKU-010</t>
  </si>
  <si>
    <t>6' oval bowl</t>
  </si>
  <si>
    <t>SKU-011</t>
  </si>
  <si>
    <t>8' dish</t>
  </si>
  <si>
    <t>SKU-012</t>
  </si>
  <si>
    <t>6' oval dish</t>
  </si>
  <si>
    <t>SKU-013</t>
  </si>
  <si>
    <t>7.5' dish</t>
  </si>
  <si>
    <t>SKU-014</t>
  </si>
  <si>
    <t>9' dish</t>
  </si>
  <si>
    <t>SKU-015</t>
  </si>
  <si>
    <t>6' tri bowl</t>
  </si>
  <si>
    <t>SKU-016</t>
  </si>
  <si>
    <t>6' bowl</t>
  </si>
  <si>
    <t>SKU-017</t>
  </si>
  <si>
    <t>cup</t>
  </si>
  <si>
    <t>SKU-018</t>
  </si>
  <si>
    <t>sause dish</t>
  </si>
  <si>
    <t>SKU-019</t>
  </si>
  <si>
    <t>6' single handle dish</t>
  </si>
  <si>
    <t>SKU-020</t>
  </si>
  <si>
    <t>small bowl</t>
  </si>
  <si>
    <t>SKU-021</t>
  </si>
  <si>
    <t>cup (discount)</t>
  </si>
  <si>
    <t>SKU-022</t>
  </si>
  <si>
    <t>small cup</t>
  </si>
  <si>
    <t>SKU-023</t>
  </si>
  <si>
    <t>rings</t>
  </si>
  <si>
    <t>SKU-024</t>
  </si>
  <si>
    <t>Beads bracelet lion</t>
  </si>
  <si>
    <t>SKU-025</t>
  </si>
  <si>
    <t>Beads bracelet liuli</t>
  </si>
  <si>
    <t>SKU-026</t>
  </si>
  <si>
    <t>Cute cat bracelet</t>
  </si>
  <si>
    <t>SKU-027</t>
  </si>
  <si>
    <t>Butterfly bracelet</t>
  </si>
  <si>
    <t>SKU-028</t>
  </si>
  <si>
    <t>Butterfly necklece</t>
  </si>
  <si>
    <t>SKU-029</t>
  </si>
  <si>
    <t>Rings</t>
  </si>
  <si>
    <t>SKU-030</t>
  </si>
  <si>
    <t>Large Hair Clip</t>
  </si>
  <si>
    <t>SKU-031</t>
  </si>
  <si>
    <t>Flower hair clip</t>
  </si>
  <si>
    <t>Total Qty</t>
  </si>
  <si>
    <t>Sold</t>
  </si>
  <si>
    <t>Stock</t>
  </si>
  <si>
    <t>04/12 summary</t>
  </si>
  <si>
    <t>20</t>
  </si>
  <si>
    <t>80</t>
  </si>
  <si>
    <t>188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</si>
</sst>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3" numFmtId="0" xfId="0" applyFont="1"/>
    <xf borderId="0" fillId="2" fontId="2" numFmtId="0" xfId="0" applyFill="1" applyFont="1"/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Font="1"/>
    <xf borderId="0" fillId="3" fontId="2" numFmtId="0" xfId="0" applyAlignment="1" applyFill="1" applyFont="1">
      <alignment shrinkToFit="0" vertical="center" wrapText="0"/>
    </xf>
    <xf borderId="0" fillId="3" fontId="1" numFmtId="0" xfId="0" applyAlignment="1" applyFont="1">
      <alignment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Font="1"/>
    <xf borderId="0" fillId="3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</dxfs>
  <tableStyles count="2">
    <tableStyle count="3" pivot="0" name="SKU-style">
      <tableStyleElement dxfId="1" type="headerRow"/>
      <tableStyleElement dxfId="2" type="firstRowStripe"/>
      <tableStyleElement dxfId="3" type="secondRowStripe"/>
    </tableStyle>
    <tableStyle count="3" pivot="0" name="SKU-style 2">
      <tableStyleElement dxfId="3" type="firstRowStripe"/>
      <tableStyleElement dxfId="2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P38" displayName="Table_1" name="Table_1" id="1">
  <tableColumns count="16">
    <tableColumn name="SKU ID" id="1"/>
    <tableColumn name="Product Name" id="2"/>
    <tableColumn name="Source Link" id="3"/>
    <tableColumn name="Category" id="4"/>
    <tableColumn name="Unit Cost" id="5"/>
    <tableColumn name="Arrival Quantity" id="6"/>
    <tableColumn name="Purchased" id="7"/>
    <tableColumn name="Total Price" id="8"/>
    <tableColumn name="Sample Evaluation Status" id="9"/>
    <tableColumn name="Decision" id="10"/>
    <tableColumn name="Quantity Sold" id="11"/>
    <tableColumn name="Current Stock" id="12"/>
    <tableColumn name="Revenue" id="13"/>
    <tableColumn name="Notes" id="14"/>
    <tableColumn name="Average sold price" id="15"/>
    <tableColumn name="Margin" id="16"/>
  </tableColumns>
  <tableStyleInfo name="SKU-style" showColumnStripes="0" showFirstColumn="1" showLastColumn="1" showRowStripes="1"/>
</table>
</file>

<file path=xl/tables/table2.xml><?xml version="1.0" encoding="utf-8"?>
<table xmlns="http://schemas.openxmlformats.org/spreadsheetml/2006/main" totalsRowCount="1" headerRowCount="0" ref="A39:P39" displayName="Table_2" name="Table_2" id="2">
  <tableColumns count="16">
    <tableColumn totalsRowLabel="04/12 summary"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totalsRowLabel="20" name="Column11" id="11"/>
    <tableColumn totalsRowLabel="80" name="Column12" id="12"/>
    <tableColumn totalsRowLabel="188" name="Column13" id="13"/>
    <tableColumn name="Column14" id="14"/>
    <tableColumn name="Column15" id="15"/>
    <tableColumn name="Column16" id="16"/>
  </tableColumns>
  <tableStyleInfo name="SKU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1.71"/>
    <col customWidth="1" min="3" max="3" width="7.14"/>
    <col customWidth="1" min="4" max="4" width="12.43"/>
    <col customWidth="1" min="5" max="7" width="15.57"/>
    <col customWidth="1" min="8" max="8" width="17.0"/>
    <col customWidth="1" min="9" max="9" width="14.86"/>
    <col customWidth="1" min="10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>
        <v>300.0</v>
      </c>
      <c r="D2" s="3">
        <f>375.05</f>
        <v>375.05</v>
      </c>
      <c r="E2" s="4">
        <f>D2</f>
        <v>375.05</v>
      </c>
      <c r="F2" s="4">
        <v>188.0</v>
      </c>
      <c r="G2" s="4">
        <v>188.0</v>
      </c>
      <c r="H2" s="3">
        <f t="shared" ref="H2:H3" si="1">C2-D2</f>
        <v>-75.05</v>
      </c>
      <c r="I2" s="3">
        <f t="shared" ref="I2:I3" si="2">G2-E2</f>
        <v>-187.05</v>
      </c>
    </row>
    <row r="3">
      <c r="A3" s="3" t="s">
        <v>9</v>
      </c>
      <c r="B3" s="5">
        <v>46152.0</v>
      </c>
      <c r="C3" s="3">
        <v>175.0</v>
      </c>
      <c r="D3" s="3">
        <f>SKU!F1+Accessory!F1</f>
        <v>66.21</v>
      </c>
      <c r="E3" s="6">
        <f>E2+D3</f>
        <v>441.26</v>
      </c>
      <c r="F3" s="6">
        <v>0.0</v>
      </c>
      <c r="G3" s="6">
        <f>G2+F3</f>
        <v>188</v>
      </c>
      <c r="H3" s="7">
        <f t="shared" si="1"/>
        <v>108.79</v>
      </c>
      <c r="I3" s="3">
        <f t="shared" si="2"/>
        <v>-253.26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43"/>
  </cols>
  <sheetData>
    <row r="1">
      <c r="A1" s="1" t="s">
        <v>11</v>
      </c>
      <c r="B1" s="1">
        <f>SUM(D4:D1001)</f>
        <v>194.07</v>
      </c>
      <c r="C1" s="2" t="s">
        <v>12</v>
      </c>
      <c r="D1" s="1">
        <f>B1-187.65</f>
        <v>6.42</v>
      </c>
    </row>
    <row r="2">
      <c r="A2" s="1"/>
      <c r="B2" s="1"/>
      <c r="C2" s="1"/>
      <c r="D2" s="1"/>
    </row>
    <row r="3">
      <c r="A3" s="1" t="s">
        <v>13</v>
      </c>
      <c r="B3" s="1" t="s">
        <v>14</v>
      </c>
      <c r="C3" s="1" t="s">
        <v>15</v>
      </c>
      <c r="D3" s="1" t="s">
        <v>16</v>
      </c>
    </row>
    <row r="4">
      <c r="A4" s="3" t="s">
        <v>17</v>
      </c>
      <c r="C4" s="3" t="s">
        <v>18</v>
      </c>
      <c r="D4" s="3">
        <v>9.28</v>
      </c>
    </row>
    <row r="5">
      <c r="A5" s="3" t="s">
        <v>19</v>
      </c>
      <c r="C5" s="3" t="s">
        <v>18</v>
      </c>
      <c r="D5" s="3">
        <v>5.5</v>
      </c>
    </row>
    <row r="6">
      <c r="A6" s="3" t="s">
        <v>20</v>
      </c>
      <c r="C6" s="3" t="s">
        <v>18</v>
      </c>
      <c r="D6" s="3">
        <v>4.06</v>
      </c>
    </row>
    <row r="7">
      <c r="A7" s="3" t="s">
        <v>21</v>
      </c>
      <c r="C7" s="3" t="s">
        <v>22</v>
      </c>
      <c r="D7" s="3">
        <v>70.0</v>
      </c>
    </row>
    <row r="8">
      <c r="A8" s="3" t="s">
        <v>23</v>
      </c>
      <c r="C8" s="3" t="s">
        <v>18</v>
      </c>
      <c r="D8" s="3">
        <v>13.34</v>
      </c>
    </row>
    <row r="9">
      <c r="A9" s="3" t="s">
        <v>24</v>
      </c>
      <c r="C9" s="3" t="s">
        <v>18</v>
      </c>
      <c r="D9" s="3">
        <v>10.47</v>
      </c>
    </row>
    <row r="10">
      <c r="A10" s="8" t="s">
        <v>25</v>
      </c>
      <c r="B10" s="8"/>
      <c r="C10" s="8" t="s">
        <v>26</v>
      </c>
      <c r="D10" s="8">
        <v>75.0</v>
      </c>
    </row>
    <row r="11">
      <c r="A11" s="6" t="s">
        <v>27</v>
      </c>
      <c r="C11" s="6" t="s">
        <v>18</v>
      </c>
      <c r="D11" s="6">
        <v>4.33</v>
      </c>
    </row>
    <row r="12">
      <c r="A12" s="6" t="s">
        <v>28</v>
      </c>
      <c r="C12" s="6" t="s">
        <v>18</v>
      </c>
      <c r="D12" s="6">
        <v>2.09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71"/>
    <col customWidth="1" min="2" max="2" width="21.29"/>
    <col customWidth="1" hidden="1" min="3" max="4" width="7.29"/>
    <col customWidth="1" min="5" max="5" width="14.29"/>
    <col customWidth="1" min="6" max="7" width="15.0"/>
    <col customWidth="1" min="9" max="9" width="12.86"/>
    <col customWidth="1" min="10" max="10" width="7.29"/>
    <col customWidth="1" min="11" max="11" width="13.0"/>
    <col customWidth="1" min="12" max="12" width="12.14"/>
    <col customWidth="1" min="13" max="13" width="12.43"/>
    <col customWidth="1" hidden="1" min="14" max="14" width="7.29"/>
    <col customWidth="1" min="15" max="15" width="20.29"/>
    <col customWidth="1" min="16" max="16" width="13.29"/>
    <col customWidth="1" min="17" max="26" width="8.71"/>
  </cols>
  <sheetData>
    <row r="1">
      <c r="A1" s="1" t="s">
        <v>11</v>
      </c>
      <c r="B1" s="1">
        <f>sum(H:H)</f>
        <v>253.61</v>
      </c>
      <c r="C1" s="1"/>
      <c r="D1" s="1"/>
      <c r="E1" s="2" t="s">
        <v>12</v>
      </c>
      <c r="F1" s="1">
        <f>B1-187.4</f>
        <v>66.21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9" t="s">
        <v>29</v>
      </c>
      <c r="B3" s="9" t="s">
        <v>13</v>
      </c>
      <c r="C3" s="9" t="s">
        <v>14</v>
      </c>
      <c r="D3" s="9" t="s">
        <v>15</v>
      </c>
      <c r="E3" s="10" t="s">
        <v>30</v>
      </c>
      <c r="F3" s="10" t="s">
        <v>31</v>
      </c>
      <c r="G3" s="9" t="s">
        <v>32</v>
      </c>
      <c r="H3" s="9" t="s">
        <v>33</v>
      </c>
      <c r="I3" s="9" t="s">
        <v>34</v>
      </c>
      <c r="J3" s="9" t="s">
        <v>35</v>
      </c>
      <c r="K3" s="9" t="s">
        <v>36</v>
      </c>
      <c r="L3" s="9" t="s">
        <v>37</v>
      </c>
      <c r="M3" s="9" t="s">
        <v>38</v>
      </c>
      <c r="N3" s="9" t="s">
        <v>39</v>
      </c>
      <c r="O3" s="9" t="s">
        <v>40</v>
      </c>
      <c r="P3" s="9" t="s">
        <v>41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1" t="s">
        <v>42</v>
      </c>
      <c r="B4" s="12" t="s">
        <v>43</v>
      </c>
      <c r="C4" s="11" t="s">
        <v>44</v>
      </c>
      <c r="D4" s="11" t="s">
        <v>45</v>
      </c>
      <c r="E4" s="12">
        <f>H4/G4</f>
        <v>2.423333333</v>
      </c>
      <c r="F4" s="12">
        <v>12.0</v>
      </c>
      <c r="G4" s="12">
        <v>33.0</v>
      </c>
      <c r="H4" s="11">
        <f>2.56 + 27.81 + 49.6</f>
        <v>79.97</v>
      </c>
      <c r="I4" s="11" t="s">
        <v>46</v>
      </c>
      <c r="J4" s="11" t="s">
        <v>47</v>
      </c>
      <c r="K4" s="12">
        <v>7.0</v>
      </c>
      <c r="L4" s="11">
        <f t="shared" ref="L4:L34" si="1">F4-K4</f>
        <v>5</v>
      </c>
      <c r="M4" s="11">
        <f>35+15+10+12.5+12</f>
        <v>84.5</v>
      </c>
      <c r="N4" s="11" t="s">
        <v>48</v>
      </c>
      <c r="O4" s="11">
        <f t="shared" ref="O4:O34" si="2">M4/K4</f>
        <v>12.07142857</v>
      </c>
      <c r="P4" s="11">
        <f t="shared" ref="P4:P34" si="3">(1-E4/O4)*100</f>
        <v>79.92504931</v>
      </c>
    </row>
    <row r="5" ht="22.5" customHeight="1">
      <c r="A5" s="11" t="s">
        <v>49</v>
      </c>
      <c r="B5" s="12" t="s">
        <v>50</v>
      </c>
      <c r="C5" s="11" t="s">
        <v>51</v>
      </c>
      <c r="D5" s="11" t="s">
        <v>45</v>
      </c>
      <c r="E5" s="11">
        <v>0.41</v>
      </c>
      <c r="F5" s="11">
        <v>24.0</v>
      </c>
      <c r="G5" s="11">
        <v>24.0</v>
      </c>
      <c r="H5" s="11">
        <f>1.16+8.68</f>
        <v>9.84</v>
      </c>
      <c r="I5" s="11" t="s">
        <v>46</v>
      </c>
      <c r="J5" s="11" t="s">
        <v>47</v>
      </c>
      <c r="K5" s="11">
        <v>6.0</v>
      </c>
      <c r="L5" s="11">
        <f t="shared" si="1"/>
        <v>18</v>
      </c>
      <c r="M5" s="11">
        <f>10+4*7+10</f>
        <v>48</v>
      </c>
      <c r="N5" s="11" t="s">
        <v>48</v>
      </c>
      <c r="O5" s="11">
        <f t="shared" si="2"/>
        <v>8</v>
      </c>
      <c r="P5" s="11">
        <f t="shared" si="3"/>
        <v>94.875</v>
      </c>
    </row>
    <row r="6" ht="22.5" customHeight="1">
      <c r="A6" s="11" t="s">
        <v>52</v>
      </c>
      <c r="B6" s="12" t="s">
        <v>53</v>
      </c>
      <c r="C6" s="11" t="s">
        <v>54</v>
      </c>
      <c r="D6" s="11" t="s">
        <v>45</v>
      </c>
      <c r="E6" s="11">
        <v>2.02</v>
      </c>
      <c r="F6" s="12">
        <v>11.0</v>
      </c>
      <c r="G6" s="11">
        <v>11.0</v>
      </c>
      <c r="H6" s="11">
        <f>2.64+23.63</f>
        <v>26.27</v>
      </c>
      <c r="I6" s="11" t="s">
        <v>46</v>
      </c>
      <c r="J6" s="11" t="s">
        <v>47</v>
      </c>
      <c r="K6" s="11">
        <v>2.0</v>
      </c>
      <c r="L6" s="11">
        <f t="shared" si="1"/>
        <v>9</v>
      </c>
      <c r="M6" s="11">
        <f>15+12.5</f>
        <v>27.5</v>
      </c>
      <c r="N6" s="11" t="s">
        <v>48</v>
      </c>
      <c r="O6" s="11">
        <f t="shared" si="2"/>
        <v>13.75</v>
      </c>
      <c r="P6" s="11">
        <f t="shared" si="3"/>
        <v>85.30909091</v>
      </c>
    </row>
    <row r="7" ht="22.5" customHeight="1">
      <c r="A7" s="11" t="s">
        <v>55</v>
      </c>
      <c r="B7" s="11" t="s">
        <v>56</v>
      </c>
      <c r="C7" s="11" t="s">
        <v>57</v>
      </c>
      <c r="D7" s="11" t="s">
        <v>45</v>
      </c>
      <c r="E7" s="11">
        <v>1.0</v>
      </c>
      <c r="F7" s="11">
        <v>1.0</v>
      </c>
      <c r="G7" s="11">
        <v>1.0</v>
      </c>
      <c r="H7" s="11">
        <v>0.87</v>
      </c>
      <c r="I7" s="11" t="s">
        <v>58</v>
      </c>
      <c r="J7" s="11" t="s">
        <v>59</v>
      </c>
      <c r="K7" s="11">
        <v>0.0</v>
      </c>
      <c r="L7" s="11">
        <f t="shared" si="1"/>
        <v>1</v>
      </c>
      <c r="M7" s="11">
        <v>0.0</v>
      </c>
      <c r="N7" s="11" t="s">
        <v>60</v>
      </c>
      <c r="O7" s="11" t="str">
        <f t="shared" si="2"/>
        <v>#DIV/0!</v>
      </c>
      <c r="P7" s="11" t="str">
        <f t="shared" si="3"/>
        <v>#DIV/0!</v>
      </c>
    </row>
    <row r="8" ht="22.5" customHeight="1">
      <c r="A8" s="11" t="s">
        <v>61</v>
      </c>
      <c r="B8" s="11" t="s">
        <v>62</v>
      </c>
      <c r="C8" s="11" t="s">
        <v>63</v>
      </c>
      <c r="D8" s="11" t="s">
        <v>64</v>
      </c>
      <c r="E8" s="11">
        <v>7.29</v>
      </c>
      <c r="F8" s="11">
        <v>1.0</v>
      </c>
      <c r="G8" s="11">
        <v>1.0</v>
      </c>
      <c r="H8" s="11">
        <v>7.29</v>
      </c>
      <c r="I8" s="11" t="s">
        <v>65</v>
      </c>
      <c r="J8" s="11" t="s">
        <v>66</v>
      </c>
      <c r="K8" s="11">
        <v>0.0</v>
      </c>
      <c r="L8" s="11">
        <f t="shared" si="1"/>
        <v>1</v>
      </c>
      <c r="M8" s="11" t="str">
        <f t="shared" ref="M8:M17" si="4">K8*#REF!</f>
        <v>#REF!</v>
      </c>
      <c r="N8" s="11" t="s">
        <v>48</v>
      </c>
      <c r="O8" s="11" t="str">
        <f t="shared" si="2"/>
        <v>#REF!</v>
      </c>
      <c r="P8" s="11" t="str">
        <f t="shared" si="3"/>
        <v>#REF!</v>
      </c>
    </row>
    <row r="9" ht="22.5" customHeight="1">
      <c r="A9" s="11" t="s">
        <v>67</v>
      </c>
      <c r="B9" s="11" t="s">
        <v>68</v>
      </c>
      <c r="C9" s="11" t="s">
        <v>69</v>
      </c>
      <c r="D9" s="11" t="s">
        <v>64</v>
      </c>
      <c r="E9" s="11">
        <v>2.88</v>
      </c>
      <c r="F9" s="11">
        <v>1.0</v>
      </c>
      <c r="G9" s="11">
        <v>1.0</v>
      </c>
      <c r="H9" s="11">
        <v>2.88</v>
      </c>
      <c r="I9" s="11" t="s">
        <v>58</v>
      </c>
      <c r="J9" s="11" t="s">
        <v>59</v>
      </c>
      <c r="K9" s="11">
        <v>0.0</v>
      </c>
      <c r="L9" s="11">
        <f t="shared" si="1"/>
        <v>1</v>
      </c>
      <c r="M9" s="11" t="str">
        <f t="shared" si="4"/>
        <v>#REF!</v>
      </c>
      <c r="N9" s="11" t="s">
        <v>70</v>
      </c>
      <c r="O9" s="11" t="str">
        <f t="shared" si="2"/>
        <v>#REF!</v>
      </c>
      <c r="P9" s="11" t="str">
        <f t="shared" si="3"/>
        <v>#REF!</v>
      </c>
    </row>
    <row r="10" ht="22.5" customHeight="1">
      <c r="A10" s="11" t="s">
        <v>71</v>
      </c>
      <c r="B10" s="11" t="s">
        <v>72</v>
      </c>
      <c r="C10" s="13"/>
      <c r="D10" s="11" t="s">
        <v>73</v>
      </c>
      <c r="E10" s="11">
        <v>2.68</v>
      </c>
      <c r="F10" s="11">
        <v>2.0</v>
      </c>
      <c r="G10" s="11">
        <v>2.0</v>
      </c>
      <c r="H10" s="11">
        <f t="shared" ref="H10:H25" si="5">E10*G10</f>
        <v>5.36</v>
      </c>
      <c r="I10" s="12" t="s">
        <v>58</v>
      </c>
      <c r="J10" s="11" t="s">
        <v>66</v>
      </c>
      <c r="K10" s="11">
        <v>0.0</v>
      </c>
      <c r="L10" s="11">
        <f t="shared" si="1"/>
        <v>2</v>
      </c>
      <c r="M10" s="11" t="str">
        <f t="shared" si="4"/>
        <v>#REF!</v>
      </c>
      <c r="N10" s="11" t="s">
        <v>74</v>
      </c>
      <c r="O10" s="11" t="str">
        <f t="shared" si="2"/>
        <v>#REF!</v>
      </c>
      <c r="P10" s="11" t="str">
        <f t="shared" si="3"/>
        <v>#REF!</v>
      </c>
    </row>
    <row r="11" ht="22.5" customHeight="1">
      <c r="A11" s="11" t="s">
        <v>75</v>
      </c>
      <c r="B11" s="11" t="s">
        <v>76</v>
      </c>
      <c r="C11" s="13"/>
      <c r="D11" s="11" t="s">
        <v>73</v>
      </c>
      <c r="E11" s="11">
        <v>2.68</v>
      </c>
      <c r="F11" s="11">
        <v>2.0</v>
      </c>
      <c r="G11" s="11">
        <v>2.0</v>
      </c>
      <c r="H11" s="11">
        <f t="shared" si="5"/>
        <v>5.36</v>
      </c>
      <c r="I11" s="12" t="s">
        <v>58</v>
      </c>
      <c r="J11" s="11" t="s">
        <v>66</v>
      </c>
      <c r="K11" s="11">
        <v>0.0</v>
      </c>
      <c r="L11" s="11">
        <f t="shared" si="1"/>
        <v>2</v>
      </c>
      <c r="M11" s="11" t="str">
        <f t="shared" si="4"/>
        <v>#REF!</v>
      </c>
      <c r="N11" s="11" t="s">
        <v>74</v>
      </c>
      <c r="O11" s="11" t="str">
        <f t="shared" si="2"/>
        <v>#REF!</v>
      </c>
      <c r="P11" s="11" t="str">
        <f t="shared" si="3"/>
        <v>#REF!</v>
      </c>
    </row>
    <row r="12" ht="22.5" customHeight="1">
      <c r="A12" s="11" t="s">
        <v>77</v>
      </c>
      <c r="B12" s="11" t="s">
        <v>78</v>
      </c>
      <c r="C12" s="13"/>
      <c r="D12" s="11" t="s">
        <v>79</v>
      </c>
      <c r="E12" s="11">
        <v>2.68</v>
      </c>
      <c r="F12" s="11">
        <v>4.0</v>
      </c>
      <c r="G12" s="11">
        <v>4.0</v>
      </c>
      <c r="H12" s="11">
        <f t="shared" si="5"/>
        <v>10.72</v>
      </c>
      <c r="I12" s="12" t="s">
        <v>58</v>
      </c>
      <c r="J12" s="11" t="s">
        <v>66</v>
      </c>
      <c r="K12" s="11">
        <v>0.0</v>
      </c>
      <c r="L12" s="11">
        <f t="shared" si="1"/>
        <v>4</v>
      </c>
      <c r="M12" s="11" t="str">
        <f t="shared" si="4"/>
        <v>#REF!</v>
      </c>
      <c r="N12" s="11" t="s">
        <v>74</v>
      </c>
      <c r="O12" s="11" t="str">
        <f t="shared" si="2"/>
        <v>#REF!</v>
      </c>
      <c r="P12" s="11" t="str">
        <f t="shared" si="3"/>
        <v>#REF!</v>
      </c>
    </row>
    <row r="13" ht="22.5" customHeight="1">
      <c r="A13" s="11" t="s">
        <v>80</v>
      </c>
      <c r="B13" s="11" t="s">
        <v>81</v>
      </c>
      <c r="C13" s="13"/>
      <c r="D13" s="11" t="s">
        <v>79</v>
      </c>
      <c r="E13" s="11">
        <v>2.68</v>
      </c>
      <c r="F13" s="11">
        <v>4.0</v>
      </c>
      <c r="G13" s="11">
        <v>4.0</v>
      </c>
      <c r="H13" s="11">
        <f t="shared" si="5"/>
        <v>10.72</v>
      </c>
      <c r="I13" s="12" t="s">
        <v>58</v>
      </c>
      <c r="J13" s="11" t="s">
        <v>66</v>
      </c>
      <c r="K13" s="11">
        <v>0.0</v>
      </c>
      <c r="L13" s="11">
        <f t="shared" si="1"/>
        <v>4</v>
      </c>
      <c r="M13" s="11" t="str">
        <f t="shared" si="4"/>
        <v>#REF!</v>
      </c>
      <c r="N13" s="11" t="s">
        <v>74</v>
      </c>
      <c r="O13" s="11" t="str">
        <f t="shared" si="2"/>
        <v>#REF!</v>
      </c>
      <c r="P13" s="11" t="str">
        <f t="shared" si="3"/>
        <v>#REF!</v>
      </c>
    </row>
    <row r="14" ht="22.5" customHeight="1">
      <c r="A14" s="11" t="s">
        <v>82</v>
      </c>
      <c r="B14" s="11" t="s">
        <v>83</v>
      </c>
      <c r="C14" s="13"/>
      <c r="D14" s="11" t="s">
        <v>73</v>
      </c>
      <c r="E14" s="11">
        <v>2.68</v>
      </c>
      <c r="F14" s="11">
        <v>2.0</v>
      </c>
      <c r="G14" s="11">
        <v>2.0</v>
      </c>
      <c r="H14" s="11">
        <f t="shared" si="5"/>
        <v>5.36</v>
      </c>
      <c r="I14" s="12" t="s">
        <v>58</v>
      </c>
      <c r="J14" s="11" t="s">
        <v>66</v>
      </c>
      <c r="K14" s="11">
        <v>0.0</v>
      </c>
      <c r="L14" s="11">
        <f t="shared" si="1"/>
        <v>2</v>
      </c>
      <c r="M14" s="11" t="str">
        <f t="shared" si="4"/>
        <v>#REF!</v>
      </c>
      <c r="N14" s="11" t="s">
        <v>74</v>
      </c>
      <c r="O14" s="11" t="str">
        <f t="shared" si="2"/>
        <v>#REF!</v>
      </c>
      <c r="P14" s="11" t="str">
        <f t="shared" si="3"/>
        <v>#REF!</v>
      </c>
    </row>
    <row r="15" ht="22.5" customHeight="1">
      <c r="A15" s="11" t="s">
        <v>84</v>
      </c>
      <c r="B15" s="11" t="s">
        <v>85</v>
      </c>
      <c r="C15" s="13"/>
      <c r="D15" s="11" t="s">
        <v>73</v>
      </c>
      <c r="E15" s="11">
        <v>2.68</v>
      </c>
      <c r="F15" s="11">
        <v>4.0</v>
      </c>
      <c r="G15" s="11">
        <v>4.0</v>
      </c>
      <c r="H15" s="11">
        <f t="shared" si="5"/>
        <v>10.72</v>
      </c>
      <c r="I15" s="12" t="s">
        <v>58</v>
      </c>
      <c r="J15" s="11" t="s">
        <v>66</v>
      </c>
      <c r="K15" s="11">
        <v>0.0</v>
      </c>
      <c r="L15" s="11">
        <f t="shared" si="1"/>
        <v>4</v>
      </c>
      <c r="M15" s="11" t="str">
        <f t="shared" si="4"/>
        <v>#REF!</v>
      </c>
      <c r="N15" s="11" t="s">
        <v>74</v>
      </c>
      <c r="O15" s="11" t="str">
        <f t="shared" si="2"/>
        <v>#REF!</v>
      </c>
      <c r="P15" s="11" t="str">
        <f t="shared" si="3"/>
        <v>#REF!</v>
      </c>
    </row>
    <row r="16" ht="22.5" customHeight="1">
      <c r="A16" s="11" t="s">
        <v>86</v>
      </c>
      <c r="B16" s="11" t="s">
        <v>87</v>
      </c>
      <c r="C16" s="13"/>
      <c r="D16" s="11" t="s">
        <v>73</v>
      </c>
      <c r="E16" s="11">
        <v>2.68</v>
      </c>
      <c r="F16" s="11">
        <v>2.0</v>
      </c>
      <c r="G16" s="11">
        <v>2.0</v>
      </c>
      <c r="H16" s="11">
        <f t="shared" si="5"/>
        <v>5.36</v>
      </c>
      <c r="I16" s="12" t="s">
        <v>58</v>
      </c>
      <c r="J16" s="11" t="s">
        <v>66</v>
      </c>
      <c r="K16" s="11">
        <v>0.0</v>
      </c>
      <c r="L16" s="11">
        <f t="shared" si="1"/>
        <v>2</v>
      </c>
      <c r="M16" s="11" t="str">
        <f t="shared" si="4"/>
        <v>#REF!</v>
      </c>
      <c r="N16" s="11" t="s">
        <v>74</v>
      </c>
      <c r="O16" s="11" t="str">
        <f t="shared" si="2"/>
        <v>#REF!</v>
      </c>
      <c r="P16" s="11" t="str">
        <f t="shared" si="3"/>
        <v>#REF!</v>
      </c>
    </row>
    <row r="17" ht="22.5" customHeight="1">
      <c r="A17" s="11" t="s">
        <v>88</v>
      </c>
      <c r="B17" s="11" t="s">
        <v>89</v>
      </c>
      <c r="C17" s="13"/>
      <c r="D17" s="11" t="s">
        <v>73</v>
      </c>
      <c r="E17" s="11">
        <v>2.68</v>
      </c>
      <c r="F17" s="11">
        <v>2.0</v>
      </c>
      <c r="G17" s="11">
        <v>2.0</v>
      </c>
      <c r="H17" s="11">
        <f t="shared" si="5"/>
        <v>5.36</v>
      </c>
      <c r="I17" s="12" t="s">
        <v>58</v>
      </c>
      <c r="J17" s="11" t="s">
        <v>66</v>
      </c>
      <c r="K17" s="11">
        <v>0.0</v>
      </c>
      <c r="L17" s="11">
        <f t="shared" si="1"/>
        <v>2</v>
      </c>
      <c r="M17" s="11" t="str">
        <f t="shared" si="4"/>
        <v>#REF!</v>
      </c>
      <c r="N17" s="11" t="s">
        <v>74</v>
      </c>
      <c r="O17" s="11" t="str">
        <f t="shared" si="2"/>
        <v>#REF!</v>
      </c>
      <c r="P17" s="11" t="str">
        <f t="shared" si="3"/>
        <v>#REF!</v>
      </c>
    </row>
    <row r="18" ht="22.5" customHeight="1">
      <c r="A18" s="11" t="s">
        <v>90</v>
      </c>
      <c r="B18" s="11" t="s">
        <v>91</v>
      </c>
      <c r="C18" s="13"/>
      <c r="D18" s="11" t="s">
        <v>79</v>
      </c>
      <c r="E18" s="11">
        <v>2.68</v>
      </c>
      <c r="F18" s="11">
        <v>4.0</v>
      </c>
      <c r="G18" s="11">
        <v>4.0</v>
      </c>
      <c r="H18" s="11">
        <f t="shared" si="5"/>
        <v>10.72</v>
      </c>
      <c r="I18" s="12" t="s">
        <v>58</v>
      </c>
      <c r="J18" s="11" t="s">
        <v>66</v>
      </c>
      <c r="K18" s="11">
        <v>1.0</v>
      </c>
      <c r="L18" s="11">
        <f t="shared" si="1"/>
        <v>3</v>
      </c>
      <c r="M18" s="11">
        <f>8</f>
        <v>8</v>
      </c>
      <c r="N18" s="11" t="s">
        <v>74</v>
      </c>
      <c r="O18" s="11">
        <f t="shared" si="2"/>
        <v>8</v>
      </c>
      <c r="P18" s="11">
        <f t="shared" si="3"/>
        <v>66.5</v>
      </c>
    </row>
    <row r="19" ht="22.5" customHeight="1">
      <c r="A19" s="11" t="s">
        <v>92</v>
      </c>
      <c r="B19" s="11" t="s">
        <v>93</v>
      </c>
      <c r="C19" s="13"/>
      <c r="D19" s="11" t="s">
        <v>79</v>
      </c>
      <c r="E19" s="11">
        <v>2.68</v>
      </c>
      <c r="F19" s="11">
        <v>4.0</v>
      </c>
      <c r="G19" s="11">
        <v>4.0</v>
      </c>
      <c r="H19" s="11">
        <f t="shared" si="5"/>
        <v>10.72</v>
      </c>
      <c r="I19" s="12" t="s">
        <v>58</v>
      </c>
      <c r="J19" s="11" t="s">
        <v>66</v>
      </c>
      <c r="K19" s="11">
        <v>0.0</v>
      </c>
      <c r="L19" s="11">
        <f t="shared" si="1"/>
        <v>4</v>
      </c>
      <c r="M19" s="11" t="str">
        <f t="shared" ref="M19:M21" si="6">K19*#REF!</f>
        <v>#REF!</v>
      </c>
      <c r="N19" s="11" t="s">
        <v>74</v>
      </c>
      <c r="O19" s="11" t="str">
        <f t="shared" si="2"/>
        <v>#REF!</v>
      </c>
      <c r="P19" s="11" t="str">
        <f t="shared" si="3"/>
        <v>#REF!</v>
      </c>
    </row>
    <row r="20" ht="20.25" customHeight="1">
      <c r="A20" s="11" t="s">
        <v>94</v>
      </c>
      <c r="B20" s="11" t="s">
        <v>95</v>
      </c>
      <c r="C20" s="13"/>
      <c r="D20" s="11" t="s">
        <v>95</v>
      </c>
      <c r="E20" s="11">
        <v>2.68</v>
      </c>
      <c r="F20" s="11">
        <v>2.0</v>
      </c>
      <c r="G20" s="11">
        <v>2.0</v>
      </c>
      <c r="H20" s="11">
        <f t="shared" si="5"/>
        <v>5.36</v>
      </c>
      <c r="I20" s="12" t="s">
        <v>58</v>
      </c>
      <c r="J20" s="11" t="s">
        <v>66</v>
      </c>
      <c r="K20" s="11">
        <v>0.0</v>
      </c>
      <c r="L20" s="11">
        <f t="shared" si="1"/>
        <v>2</v>
      </c>
      <c r="M20" s="11" t="str">
        <f t="shared" si="6"/>
        <v>#REF!</v>
      </c>
      <c r="N20" s="11" t="s">
        <v>74</v>
      </c>
      <c r="O20" s="11" t="str">
        <f t="shared" si="2"/>
        <v>#REF!</v>
      </c>
      <c r="P20" s="11" t="str">
        <f t="shared" si="3"/>
        <v>#REF!</v>
      </c>
    </row>
    <row r="21" ht="22.5" customHeight="1">
      <c r="A21" s="11" t="s">
        <v>96</v>
      </c>
      <c r="B21" s="11" t="s">
        <v>97</v>
      </c>
      <c r="C21" s="13"/>
      <c r="D21" s="11" t="s">
        <v>73</v>
      </c>
      <c r="E21" s="11">
        <v>2.68</v>
      </c>
      <c r="F21" s="11">
        <v>4.0</v>
      </c>
      <c r="G21" s="11">
        <v>4.0</v>
      </c>
      <c r="H21" s="11">
        <f t="shared" si="5"/>
        <v>10.72</v>
      </c>
      <c r="I21" s="12" t="s">
        <v>58</v>
      </c>
      <c r="J21" s="11" t="s">
        <v>66</v>
      </c>
      <c r="K21" s="11">
        <v>0.0</v>
      </c>
      <c r="L21" s="11">
        <f t="shared" si="1"/>
        <v>4</v>
      </c>
      <c r="M21" s="11" t="str">
        <f t="shared" si="6"/>
        <v>#REF!</v>
      </c>
      <c r="N21" s="11" t="s">
        <v>74</v>
      </c>
      <c r="O21" s="11" t="str">
        <f t="shared" si="2"/>
        <v>#REF!</v>
      </c>
      <c r="P21" s="11" t="str">
        <f t="shared" si="3"/>
        <v>#REF!</v>
      </c>
    </row>
    <row r="22" ht="22.5" customHeight="1">
      <c r="A22" s="11" t="s">
        <v>98</v>
      </c>
      <c r="B22" s="11" t="s">
        <v>99</v>
      </c>
      <c r="C22" s="13"/>
      <c r="D22" s="11" t="s">
        <v>73</v>
      </c>
      <c r="E22" s="11">
        <v>2.68</v>
      </c>
      <c r="F22" s="11">
        <v>1.0</v>
      </c>
      <c r="G22" s="11">
        <v>1.0</v>
      </c>
      <c r="H22" s="11">
        <f t="shared" si="5"/>
        <v>2.68</v>
      </c>
      <c r="I22" s="12" t="s">
        <v>58</v>
      </c>
      <c r="J22" s="11" t="s">
        <v>66</v>
      </c>
      <c r="K22" s="11">
        <v>1.0</v>
      </c>
      <c r="L22" s="11">
        <f t="shared" si="1"/>
        <v>0</v>
      </c>
      <c r="M22" s="11">
        <v>7.0</v>
      </c>
      <c r="N22" s="11" t="s">
        <v>74</v>
      </c>
      <c r="O22" s="11">
        <f t="shared" si="2"/>
        <v>7</v>
      </c>
      <c r="P22" s="11">
        <f t="shared" si="3"/>
        <v>61.71428571</v>
      </c>
    </row>
    <row r="23" ht="15.75" customHeight="1">
      <c r="A23" s="11" t="s">
        <v>100</v>
      </c>
      <c r="B23" s="11" t="s">
        <v>101</v>
      </c>
      <c r="C23" s="13"/>
      <c r="D23" s="11" t="s">
        <v>79</v>
      </c>
      <c r="E23" s="11">
        <v>2.68</v>
      </c>
      <c r="F23" s="11">
        <v>2.0</v>
      </c>
      <c r="G23" s="11">
        <v>1.0</v>
      </c>
      <c r="H23" s="11">
        <f t="shared" si="5"/>
        <v>2.68</v>
      </c>
      <c r="I23" s="12" t="s">
        <v>58</v>
      </c>
      <c r="J23" s="11" t="s">
        <v>66</v>
      </c>
      <c r="K23" s="11">
        <v>0.0</v>
      </c>
      <c r="L23" s="11">
        <f t="shared" si="1"/>
        <v>2</v>
      </c>
      <c r="M23" s="11" t="str">
        <f>K23*#REF!</f>
        <v>#REF!</v>
      </c>
      <c r="N23" s="11" t="s">
        <v>74</v>
      </c>
      <c r="O23" s="11" t="str">
        <f t="shared" si="2"/>
        <v>#REF!</v>
      </c>
      <c r="P23" s="11" t="str">
        <f t="shared" si="3"/>
        <v>#REF!</v>
      </c>
    </row>
    <row r="24" ht="15.75" customHeight="1">
      <c r="A24" s="11" t="s">
        <v>102</v>
      </c>
      <c r="B24" s="11" t="s">
        <v>103</v>
      </c>
      <c r="C24" s="13"/>
      <c r="D24" s="11" t="s">
        <v>95</v>
      </c>
      <c r="E24" s="11">
        <v>2.68</v>
      </c>
      <c r="F24" s="11">
        <v>1.0</v>
      </c>
      <c r="G24" s="11">
        <v>1.0</v>
      </c>
      <c r="H24" s="11">
        <f t="shared" si="5"/>
        <v>2.68</v>
      </c>
      <c r="I24" s="12" t="s">
        <v>58</v>
      </c>
      <c r="J24" s="11" t="s">
        <v>66</v>
      </c>
      <c r="K24" s="11">
        <v>1.0</v>
      </c>
      <c r="L24" s="11">
        <f t="shared" si="1"/>
        <v>0</v>
      </c>
      <c r="M24" s="11">
        <f>8</f>
        <v>8</v>
      </c>
      <c r="N24" s="11" t="s">
        <v>74</v>
      </c>
      <c r="O24" s="11">
        <f t="shared" si="2"/>
        <v>8</v>
      </c>
      <c r="P24" s="11">
        <f t="shared" si="3"/>
        <v>66.5</v>
      </c>
    </row>
    <row r="25" ht="15.75" customHeight="1">
      <c r="A25" s="11" t="s">
        <v>104</v>
      </c>
      <c r="B25" s="11" t="s">
        <v>105</v>
      </c>
      <c r="C25" s="13"/>
      <c r="D25" s="11" t="s">
        <v>95</v>
      </c>
      <c r="E25" s="11">
        <v>2.68</v>
      </c>
      <c r="F25" s="11">
        <v>2.0</v>
      </c>
      <c r="G25" s="11">
        <v>2.0</v>
      </c>
      <c r="H25" s="11">
        <f t="shared" si="5"/>
        <v>5.36</v>
      </c>
      <c r="I25" s="12" t="s">
        <v>58</v>
      </c>
      <c r="J25" s="11" t="s">
        <v>66</v>
      </c>
      <c r="K25" s="11">
        <v>0.0</v>
      </c>
      <c r="L25" s="11">
        <f t="shared" si="1"/>
        <v>2</v>
      </c>
      <c r="M25" s="11" t="str">
        <f>K25*#REF!</f>
        <v>#REF!</v>
      </c>
      <c r="N25" s="11" t="s">
        <v>74</v>
      </c>
      <c r="O25" s="11" t="str">
        <f t="shared" si="2"/>
        <v>#REF!</v>
      </c>
      <c r="P25" s="11" t="str">
        <f t="shared" si="3"/>
        <v>#REF!</v>
      </c>
    </row>
    <row r="26" ht="15.75" customHeight="1">
      <c r="A26" s="11" t="s">
        <v>106</v>
      </c>
      <c r="B26" s="11" t="s">
        <v>107</v>
      </c>
      <c r="C26" s="11"/>
      <c r="D26" s="11"/>
      <c r="E26" s="11">
        <f>4.3/20</f>
        <v>0.215</v>
      </c>
      <c r="F26" s="12">
        <v>8.0</v>
      </c>
      <c r="G26" s="12">
        <v>26.0</v>
      </c>
      <c r="H26" s="12">
        <v>4.3</v>
      </c>
      <c r="I26" s="12" t="s">
        <v>46</v>
      </c>
      <c r="J26" s="12" t="s">
        <v>47</v>
      </c>
      <c r="K26" s="11">
        <v>2.0</v>
      </c>
      <c r="L26" s="11">
        <f t="shared" si="1"/>
        <v>6</v>
      </c>
      <c r="M26" s="11">
        <f t="shared" ref="M26:M34" si="7">5</f>
        <v>5</v>
      </c>
      <c r="N26" s="11"/>
      <c r="O26" s="11">
        <f t="shared" si="2"/>
        <v>2.5</v>
      </c>
      <c r="P26" s="11">
        <f t="shared" si="3"/>
        <v>91.4</v>
      </c>
    </row>
    <row r="27" ht="15.75" customHeight="1">
      <c r="A27" s="12" t="s">
        <v>108</v>
      </c>
      <c r="B27" s="12" t="s">
        <v>109</v>
      </c>
      <c r="C27" s="11"/>
      <c r="D27" s="11"/>
      <c r="E27" s="11">
        <f>2.45/5</f>
        <v>0.49</v>
      </c>
      <c r="F27" s="12">
        <v>0.0</v>
      </c>
      <c r="G27" s="12">
        <v>5.0</v>
      </c>
      <c r="H27" s="12">
        <v>2.45</v>
      </c>
      <c r="I27" s="12" t="s">
        <v>65</v>
      </c>
      <c r="J27" s="12" t="s">
        <v>66</v>
      </c>
      <c r="K27" s="12">
        <v>0.0</v>
      </c>
      <c r="L27" s="11">
        <f t="shared" si="1"/>
        <v>0</v>
      </c>
      <c r="M27" s="11">
        <f t="shared" si="7"/>
        <v>5</v>
      </c>
      <c r="N27" s="11"/>
      <c r="O27" s="11" t="str">
        <f t="shared" si="2"/>
        <v>#DIV/0!</v>
      </c>
      <c r="P27" s="11" t="str">
        <f t="shared" si="3"/>
        <v>#DIV/0!</v>
      </c>
    </row>
    <row r="28" ht="15.75" customHeight="1">
      <c r="A28" s="12" t="s">
        <v>110</v>
      </c>
      <c r="B28" s="12" t="s">
        <v>111</v>
      </c>
      <c r="C28" s="11"/>
      <c r="D28" s="11"/>
      <c r="E28" s="11">
        <f>2.29/9</f>
        <v>0.2544444444</v>
      </c>
      <c r="F28" s="12">
        <v>0.0</v>
      </c>
      <c r="G28" s="12">
        <v>9.0</v>
      </c>
      <c r="H28" s="12">
        <v>2.25</v>
      </c>
      <c r="I28" s="12" t="s">
        <v>65</v>
      </c>
      <c r="J28" s="12" t="s">
        <v>66</v>
      </c>
      <c r="K28" s="12">
        <v>0.0</v>
      </c>
      <c r="L28" s="11">
        <f t="shared" si="1"/>
        <v>0</v>
      </c>
      <c r="M28" s="11">
        <f t="shared" si="7"/>
        <v>5</v>
      </c>
      <c r="N28" s="11"/>
      <c r="O28" s="11" t="str">
        <f t="shared" si="2"/>
        <v>#DIV/0!</v>
      </c>
      <c r="P28" s="11" t="str">
        <f t="shared" si="3"/>
        <v>#DIV/0!</v>
      </c>
    </row>
    <row r="29" ht="15.75" customHeight="1">
      <c r="A29" s="12" t="s">
        <v>112</v>
      </c>
      <c r="B29" s="12" t="s">
        <v>113</v>
      </c>
      <c r="C29" s="11"/>
      <c r="D29" s="11"/>
      <c r="E29" s="12">
        <v>0.17</v>
      </c>
      <c r="F29" s="12">
        <v>0.0</v>
      </c>
      <c r="G29" s="12">
        <v>1.0</v>
      </c>
      <c r="H29" s="12">
        <v>0.17</v>
      </c>
      <c r="I29" s="12" t="s">
        <v>65</v>
      </c>
      <c r="J29" s="12" t="s">
        <v>66</v>
      </c>
      <c r="K29" s="12">
        <v>0.0</v>
      </c>
      <c r="L29" s="11">
        <f t="shared" si="1"/>
        <v>0</v>
      </c>
      <c r="M29" s="11">
        <f t="shared" si="7"/>
        <v>5</v>
      </c>
      <c r="N29" s="11"/>
      <c r="O29" s="11" t="str">
        <f t="shared" si="2"/>
        <v>#DIV/0!</v>
      </c>
      <c r="P29" s="11" t="str">
        <f t="shared" si="3"/>
        <v>#DIV/0!</v>
      </c>
    </row>
    <row r="30" ht="15.75" customHeight="1">
      <c r="A30" s="12" t="s">
        <v>114</v>
      </c>
      <c r="B30" s="12" t="s">
        <v>115</v>
      </c>
      <c r="C30" s="11"/>
      <c r="D30" s="11"/>
      <c r="E30" s="12">
        <v>0.26</v>
      </c>
      <c r="F30" s="12">
        <v>0.0</v>
      </c>
      <c r="G30" s="12">
        <v>1.0</v>
      </c>
      <c r="H30" s="12">
        <v>0.26</v>
      </c>
      <c r="I30" s="12" t="s">
        <v>65</v>
      </c>
      <c r="J30" s="12" t="s">
        <v>66</v>
      </c>
      <c r="K30" s="12">
        <v>0.0</v>
      </c>
      <c r="L30" s="11">
        <f t="shared" si="1"/>
        <v>0</v>
      </c>
      <c r="M30" s="11">
        <f t="shared" si="7"/>
        <v>5</v>
      </c>
      <c r="N30" s="11"/>
      <c r="O30" s="11" t="str">
        <f t="shared" si="2"/>
        <v>#DIV/0!</v>
      </c>
      <c r="P30" s="11" t="str">
        <f t="shared" si="3"/>
        <v>#DIV/0!</v>
      </c>
    </row>
    <row r="31" ht="15.75" customHeight="1">
      <c r="A31" s="12" t="s">
        <v>116</v>
      </c>
      <c r="B31" s="12" t="s">
        <v>117</v>
      </c>
      <c r="C31" s="11"/>
      <c r="D31" s="11"/>
      <c r="E31" s="12">
        <v>0.12</v>
      </c>
      <c r="F31" s="12">
        <v>0.0</v>
      </c>
      <c r="G31" s="12">
        <v>2.0</v>
      </c>
      <c r="H31" s="12">
        <v>0.24</v>
      </c>
      <c r="I31" s="12" t="s">
        <v>65</v>
      </c>
      <c r="J31" s="12" t="s">
        <v>66</v>
      </c>
      <c r="K31" s="12">
        <v>0.0</v>
      </c>
      <c r="L31" s="11">
        <f t="shared" si="1"/>
        <v>0</v>
      </c>
      <c r="M31" s="11">
        <f t="shared" si="7"/>
        <v>5</v>
      </c>
      <c r="N31" s="11"/>
      <c r="O31" s="11" t="str">
        <f t="shared" si="2"/>
        <v>#DIV/0!</v>
      </c>
      <c r="P31" s="11" t="str">
        <f t="shared" si="3"/>
        <v>#DIV/0!</v>
      </c>
    </row>
    <row r="32" ht="15.75" customHeight="1">
      <c r="A32" s="12" t="s">
        <v>118</v>
      </c>
      <c r="B32" s="12" t="s">
        <v>119</v>
      </c>
      <c r="C32" s="11"/>
      <c r="D32" s="11"/>
      <c r="E32" s="12">
        <v>0.1</v>
      </c>
      <c r="F32" s="12">
        <v>0.0</v>
      </c>
      <c r="G32" s="12">
        <v>1.0</v>
      </c>
      <c r="H32" s="12">
        <v>0.1</v>
      </c>
      <c r="I32" s="12" t="s">
        <v>65</v>
      </c>
      <c r="J32" s="12" t="s">
        <v>66</v>
      </c>
      <c r="K32" s="12">
        <v>0.0</v>
      </c>
      <c r="L32" s="11">
        <f t="shared" si="1"/>
        <v>0</v>
      </c>
      <c r="M32" s="11">
        <f t="shared" si="7"/>
        <v>5</v>
      </c>
      <c r="N32" s="11"/>
      <c r="O32" s="11" t="str">
        <f t="shared" si="2"/>
        <v>#DIV/0!</v>
      </c>
      <c r="P32" s="11" t="str">
        <f t="shared" si="3"/>
        <v>#DIV/0!</v>
      </c>
    </row>
    <row r="33" ht="15.75" customHeight="1">
      <c r="A33" s="12" t="s">
        <v>120</v>
      </c>
      <c r="B33" s="12" t="s">
        <v>121</v>
      </c>
      <c r="C33" s="11"/>
      <c r="D33" s="11"/>
      <c r="E33" s="11">
        <f>5.54/9</f>
        <v>0.6155555556</v>
      </c>
      <c r="F33" s="12">
        <v>0.0</v>
      </c>
      <c r="G33" s="12">
        <v>9.0</v>
      </c>
      <c r="H33" s="12">
        <v>5.54</v>
      </c>
      <c r="I33" s="12" t="s">
        <v>65</v>
      </c>
      <c r="J33" s="12" t="s">
        <v>66</v>
      </c>
      <c r="K33" s="12">
        <v>0.0</v>
      </c>
      <c r="L33" s="11">
        <f t="shared" si="1"/>
        <v>0</v>
      </c>
      <c r="M33" s="11">
        <f t="shared" si="7"/>
        <v>5</v>
      </c>
      <c r="N33" s="11"/>
      <c r="O33" s="11" t="str">
        <f t="shared" si="2"/>
        <v>#DIV/0!</v>
      </c>
      <c r="P33" s="11" t="str">
        <f t="shared" si="3"/>
        <v>#DIV/0!</v>
      </c>
    </row>
    <row r="34" ht="15.75" customHeight="1">
      <c r="A34" s="12" t="s">
        <v>122</v>
      </c>
      <c r="B34" s="12" t="s">
        <v>123</v>
      </c>
      <c r="C34" s="11"/>
      <c r="D34" s="11"/>
      <c r="E34" s="11">
        <f>1.3/3</f>
        <v>0.4333333333</v>
      </c>
      <c r="F34" s="12">
        <v>0.0</v>
      </c>
      <c r="G34" s="12">
        <v>3.0</v>
      </c>
      <c r="H34" s="12">
        <v>1.3</v>
      </c>
      <c r="I34" s="12" t="s">
        <v>65</v>
      </c>
      <c r="J34" s="12" t="s">
        <v>66</v>
      </c>
      <c r="K34" s="12">
        <v>0.0</v>
      </c>
      <c r="L34" s="11">
        <f t="shared" si="1"/>
        <v>0</v>
      </c>
      <c r="M34" s="11">
        <f t="shared" si="7"/>
        <v>5</v>
      </c>
      <c r="N34" s="11"/>
      <c r="O34" s="11" t="str">
        <f t="shared" si="2"/>
        <v>#DIV/0!</v>
      </c>
      <c r="P34" s="11" t="str">
        <f t="shared" si="3"/>
        <v>#DIV/0!</v>
      </c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5"/>
      <c r="L36" s="15"/>
      <c r="M36" s="15"/>
      <c r="N36" s="14"/>
      <c r="O36" s="14"/>
      <c r="P36" s="14"/>
    </row>
    <row r="37" ht="15.75" customHeight="1">
      <c r="A37" s="16" t="s">
        <v>124</v>
      </c>
      <c r="B37" s="14"/>
      <c r="C37" s="14"/>
      <c r="D37" s="14"/>
      <c r="E37" s="14"/>
      <c r="F37" s="14"/>
      <c r="G37" s="14"/>
      <c r="H37" s="14"/>
      <c r="I37" s="14"/>
      <c r="J37" s="14"/>
      <c r="K37" s="15"/>
      <c r="L37" s="15">
        <f>SUM(L4:L34)</f>
        <v>80</v>
      </c>
      <c r="M37" s="15"/>
      <c r="N37" s="14"/>
      <c r="O37" s="14"/>
      <c r="P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5" t="s">
        <v>125</v>
      </c>
      <c r="L38" s="15" t="s">
        <v>126</v>
      </c>
      <c r="M38" s="15" t="s">
        <v>38</v>
      </c>
      <c r="N38" s="14"/>
      <c r="O38" s="14"/>
      <c r="P38" s="14"/>
    </row>
    <row r="39" ht="15.75" customHeight="1">
      <c r="A39" s="17" t="s">
        <v>127</v>
      </c>
      <c r="B39" s="17"/>
      <c r="C39" s="17"/>
      <c r="D39" s="17"/>
      <c r="E39" s="17"/>
      <c r="F39" s="17"/>
      <c r="G39" s="17"/>
      <c r="H39" s="17"/>
      <c r="I39" s="17"/>
      <c r="J39" s="17"/>
      <c r="K39" s="18" t="s">
        <v>128</v>
      </c>
      <c r="L39" s="18" t="s">
        <v>129</v>
      </c>
      <c r="M39" s="18" t="s">
        <v>130</v>
      </c>
      <c r="N39" s="17"/>
      <c r="O39" s="17"/>
      <c r="P39" s="1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dataValidations>
    <dataValidation type="list" allowBlank="1" showDropDown="1" showErrorMessage="1" sqref="I4:I38">
      <formula1>"Pass,Fail,In progress"</formula1>
    </dataValidation>
    <dataValidation type="list" allowBlank="1" showDropDown="1" showErrorMessage="1" sqref="D4:D38">
      <formula1>"Accessories,Drinkware,dish,bowl,cup"</formula1>
    </dataValidation>
    <dataValidation type="custom" allowBlank="1" showDropDown="1" sqref="E4:H38 K4:M38">
      <formula1>AND(ISNUMBER(E4),(NOT(OR(NOT(ISERROR(DATEVALUE(E4))), AND(ISNUMBER(E4), LEFT(CELL("format", E4))="D")))))</formula1>
    </dataValidation>
    <dataValidation type="list" allowBlank="1" showDropDown="1" showErrorMessage="1" sqref="J4:J38">
      <formula1>"Scale,Kill,Sample"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2026-01-12T03:56:21Z</dcterms:created>
  <dc:creator>openpyxl</dc:creator>
</cp:coreProperties>
</file>